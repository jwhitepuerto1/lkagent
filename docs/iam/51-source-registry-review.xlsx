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Source Registry" sheetId="2" state="visible" r:id="rId4"/>
    <sheet name="Field Guidanc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<sst xmlns="http://schemas.openxmlformats.org/spreadsheetml/2006/main" count="259" uniqueCount="153">
  <si>
    <t xml:space="preserve">IAS IAM — Source Registry Review</t>
  </si>
  <si>
    <t xml:space="preserve">Phase 0 prerequisite. Master Specification Part I, section 3.1 (Source governance).</t>
  </si>
  <si>
    <t xml:space="preserve">Why this exists</t>
  </si>
  <si>
    <t xml:space="preserve">The specification states: "No source may enter production ingestion until approved."</t>
  </si>
  <si>
    <t xml:space="preserve">Phase 2a of the build cannot ingest anything until this table is completed and the</t>
  </si>
  <si>
    <t xml:space="preserve">sources are seeded into the source registry. This is the longest-lead-time item in</t>
  </si>
  <si>
    <t xml:space="preserve">Phase 0 because it depends on legal review, not on engineering.</t>
  </si>
  <si>
    <t xml:space="preserve">How to use it</t>
  </si>
  <si>
    <t xml:space="preserve">1. Complete the 'Source Registry' tab. Yellow cells are for you and your counsel to fill in.</t>
  </si>
  <si>
    <t xml:space="preserve">2. Row 4 is a worked example showing the expected format. Delete it before seeding.</t>
  </si>
  <si>
    <t xml:space="preserve">3. A source cannot move to Approved until every required field is populated.</t>
  </si>
  <si>
    <t xml:space="preserve">4. The completed table becomes seed data for ria_reason_code_registry's sibling,</t>
  </si>
  <si>
    <t xml:space="preserve">   the source_registry table built in Phase 1b.</t>
  </si>
  <si>
    <t xml:space="preserve">Note on legal review</t>
  </si>
  <si>
    <t xml:space="preserve">Permitted Uses, Prohibited Uses, Licensing Restrictions and Retention Requirements are</t>
  </si>
  <si>
    <t xml:space="preserve">questions for your counsel, not for the engineering team and not for an AI system.</t>
  </si>
  <si>
    <t xml:space="preserve">The IAM can enforce whatever classification you give it. It cannot determine what that</t>
  </si>
  <si>
    <t xml:space="preserve">classification should be.</t>
  </si>
  <si>
    <t xml:space="preserve">Pay particular attention to onward disclosure. The Client Export Gateway sends contact</t>
  </si>
  <si>
    <t xml:space="preserve">and qualification data to client campaign systems. If a source's terms restrict</t>
  </si>
  <si>
    <t xml:space="preserve">redistribution to third parties, that constraint must be recorded here so the gateway</t>
  </si>
  <si>
    <t xml:space="preserve">can enforce it downstream.</t>
  </si>
  <si>
    <t xml:space="preserve">Sources listed</t>
  </si>
  <si>
    <t xml:space="preserve">The 11 sources named in the Master Specification, plus a row for any RIA data already</t>
  </si>
  <si>
    <t xml:space="preserve">assembled in-house. In-house data is a source like any other and does not bypass</t>
  </si>
  <si>
    <t xml:space="preserve">governance. Add rows as needed.</t>
  </si>
  <si>
    <t xml:space="preserve">#</t>
  </si>
  <si>
    <t xml:space="preserve">Source Name</t>
  </si>
  <si>
    <t xml:space="preserve">Source Type</t>
  </si>
  <si>
    <t xml:space="preserve">Category Used By</t>
  </si>
  <si>
    <t xml:space="preserve">Permitted Fields</t>
  </si>
  <si>
    <t xml:space="preserve">Permitted Uses</t>
  </si>
  <si>
    <t xml:space="preserve">Prohibited Uses</t>
  </si>
  <si>
    <t xml:space="preserve">Licensing Restrictions</t>
  </si>
  <si>
    <t xml:space="preserve">Onward Disclosure to Clients</t>
  </si>
  <si>
    <t xml:space="preserve">Retention Requirements</t>
  </si>
  <si>
    <t xml:space="preserve">Refresh Schedule</t>
  </si>
  <si>
    <t xml:space="preserve">Reliability Rating (0-1)</t>
  </si>
  <si>
    <t xml:space="preserve">Terms-Review Date</t>
  </si>
  <si>
    <t xml:space="preserve">Approval Status</t>
  </si>
  <si>
    <t xml:space="preserve">Reviewed By</t>
  </si>
  <si>
    <t xml:space="preserve">Notes</t>
  </si>
  <si>
    <t xml:space="preserve">EXAMPLE — Form ADV Part 1</t>
  </si>
  <si>
    <t xml:space="preserve">Regulatory filing (bulk)</t>
  </si>
  <si>
    <t xml:space="preserve">RIA</t>
  </si>
  <si>
    <t xml:space="preserve">CRD, SEC no., legal name, AUM, client categories, account counts</t>
  </si>
  <si>
    <t xml:space="preserve">Firm qualification; evidence extraction; export of firm identity to client campaigns</t>
  </si>
  <si>
    <t xml:space="preserve">Do not redistribute raw bulk dataset</t>
  </si>
  <si>
    <t xml:space="preserve">Public domain — no licence restriction</t>
  </si>
  <si>
    <t xml:space="preserve">Permitted</t>
  </si>
  <si>
    <t xml:space="preserve">Retain indefinitely; version every filing</t>
  </si>
  <si>
    <t xml:space="preserve">Monthly (SEC bulk release)</t>
  </si>
  <si>
    <t xml:space="preserve">2027-01-31</t>
  </si>
  <si>
    <t xml:space="preserve">Approved</t>
  </si>
  <si>
    <t xml:space="preserve">J. White</t>
  </si>
  <si>
    <t xml:space="preserve">Authoritative. Self-reported and bucketed — do not treat figures as point estimates.</t>
  </si>
  <si>
    <t xml:space="preserve">SEC / IAPD</t>
  </si>
  <si>
    <t xml:space="preserve">Regulatory database</t>
  </si>
  <si>
    <t xml:space="preserve">CRD, SEC number, legal name, DBA, status, filing dates, office locations</t>
  </si>
  <si>
    <t xml:space="preserve">Firm qualification; evidence extraction; decision-maker identification; export of firm identity and qualification band to client campaigns</t>
  </si>
  <si>
    <t xml:space="preserve">Do not present filing data as legal verification of accreditation or eligibility. Do not redistribute the raw bulk dataset as a dataset.</t>
  </si>
  <si>
    <t xml:space="preserve">Public domain — US government record. No licence restriction.</t>
  </si>
  <si>
    <t xml:space="preserve">Retain indefinitely. Version every filing; never overwrite.</t>
  </si>
  <si>
    <t xml:space="preserve">Monthly</t>
  </si>
  <si>
    <t xml:space="preserve">2027-08-01</t>
  </si>
  <si>
    <t xml:space="preserve">Authoritative for identity. Use CRD/SEC number as primary key, never name matching. Observe SEC fair-access conditions: identify User-Agent, respect rate limits.</t>
  </si>
  <si>
    <t xml:space="preserve">Form ADV Part 1</t>
  </si>
  <si>
    <t xml:space="preserve">CRD, SEC no., AUM, client categories, account counts, discretionary authority, related entities</t>
  </si>
  <si>
    <t xml:space="preserve">Self-reported and bucketed. Do not treat figures as point estimates. Watch adviser/affiliate asset double-counting.</t>
  </si>
  <si>
    <t xml:space="preserve">Form ADV Schedule D</t>
  </si>
  <si>
    <t xml:space="preserve">Private fund details, related persons, other business activities, custody arrangements</t>
  </si>
  <si>
    <t xml:space="preserve">Private fund entries here are evidence of fund MANAGEMENT, not of client allocation to third parties. Keep the two findings on distinct evidence items.</t>
  </si>
  <si>
    <t xml:space="preserve">Form ADV Part 2A</t>
  </si>
  <si>
    <t xml:space="preserve">Regulatory filing (narrative)</t>
  </si>
  <si>
    <t xml:space="preserve">Brochure narrative: investment strategies, types of investments, fee structure, conflicts</t>
  </si>
  <si>
    <t xml:space="preserve">Primary evidence for private vs liquid alternatives and private RE vs public REIT. Narrative — extraction confidence should sit below Part 1's.</t>
  </si>
  <si>
    <t xml:space="preserve">Form CRS</t>
  </si>
  <si>
    <t xml:space="preserve">Regulatory filing</t>
  </si>
  <si>
    <t xml:space="preserve">Relationship summary, services offered, client types, conflicts</t>
  </si>
  <si>
    <t xml:space="preserve">Short-form. Supporting evidence for client base; rarely decisive alone.</t>
  </si>
  <si>
    <t xml:space="preserve">State adviser sources</t>
  </si>
  <si>
    <t xml:space="preserve">State registration status, CRD, legal name, filing dates</t>
  </si>
  <si>
    <t xml:space="preserve">Public record. Availability and format vary by state; confirm per state before adding.</t>
  </si>
  <si>
    <t xml:space="preserve">Quarterly</t>
  </si>
  <si>
    <t xml:space="preserve">Needed for state-registered RIAs below the SEC threshold. Coverage is uneven — record which states are actually wired up.</t>
  </si>
  <si>
    <t xml:space="preserve">IAPD individual records</t>
  </si>
  <si>
    <t xml:space="preserve">Individual CRD, name, employment history, registrations, disclosures</t>
  </si>
  <si>
    <t xml:space="preserve">Employee identity resolution; employment currency; role and authority evidence</t>
  </si>
  <si>
    <t xml:space="preserve">Authoritative for employment currency — prefer over website team pages, which go stale.</t>
  </si>
  <si>
    <t xml:space="preserve">FINRA BrokerCheck</t>
  </si>
  <si>
    <t xml:space="preserve">RIA — NOT REGISTERED</t>
  </si>
  <si>
    <t xml:space="preserve">n/a — not in scope</t>
  </si>
  <si>
    <t xml:space="preserve">n/a</t>
  </si>
  <si>
    <t xml:space="preserve">Publicly accessible but not public domain. FINRA asserts terms of use restricting bulk collection and redistribution.</t>
  </si>
  <si>
    <t xml:space="preserve">Rejected</t>
  </si>
  <si>
    <t xml:space="preserve">DROPPED for now (assumption A-004). IAPD individual records already give authoritative CRD, registration status and employment history — which is what the Phase 2c agents and Phase 2d gates consume. BrokerCheck's distinctive contribution is disclosure history, which no gate or score weight references. Reversible: one registry row plus one agent if disclosure history is later needed.</t>
  </si>
  <si>
    <t xml:space="preserve">RIA websites</t>
  </si>
  <si>
    <t xml:space="preserve">Web content</t>
  </si>
  <si>
    <t xml:space="preserve">Extracted facts only: services, investment approach, team membership, roles, contact routes</t>
  </si>
  <si>
    <t xml:space="preserve">Evidence extraction for allocator profile, accessibility, decision path, team membership</t>
  </si>
  <si>
    <t xml:space="preserve">Do not store verbatim page text beyond what is needed as a source reference. Do not republish site content.</t>
  </si>
  <si>
    <t xml:space="preserve">Publicly accessible. Content is the site owner's copyright — extracted facts are used, prose is not republished. Observe robots.txt and site terms.</t>
  </si>
  <si>
    <t xml:space="preserve">Permitted (extracted facts only)</t>
  </si>
  <si>
    <t xml:space="preserve">Retain extracted facts and a source reference; do not retain full page copies long-term.</t>
  </si>
  <si>
    <t xml:space="preserve">Public access, but 'public to read' is not 'free to republish'. Store the fact and the citation, not the paragraph.</t>
  </si>
  <si>
    <t xml:space="preserve">Team biographies</t>
  </si>
  <si>
    <t xml:space="preserve">Extracted facts only: name, title, role, tenure, stated responsibilities, credentials</t>
  </si>
  <si>
    <t xml:space="preserve">Employee identity, role classification, authority evidence, decision-maker mapping</t>
  </si>
  <si>
    <t xml:space="preserve">Do not store verbatim biography text beyond a source reference. Title alone must not establish authority.</t>
  </si>
  <si>
    <t xml:space="preserve">Publicly accessible. Bio prose is the firm's copyright — extract facts, do not republish.</t>
  </si>
  <si>
    <t xml:space="preserve">Retain extracted facts and citation. Re-verify employment currency each cycle.</t>
  </si>
  <si>
    <t xml:space="preserve">Frequently stale — people leave and pages lag. Corroborate against IAPD before routing anyone.</t>
  </si>
  <si>
    <t xml:space="preserve">Apollo.io (commercial contact data)</t>
  </si>
  <si>
    <t xml:space="preserve">Commercial licence</t>
  </si>
  <si>
    <t xml:space="preserve">HNW / FO</t>
  </si>
  <si>
    <t xml:space="preserve">Name, title, employer, professional contact details, firmographics</t>
  </si>
  <si>
    <t xml:space="preserve">Internal research, prioritisation, and outreach run on Capital Context infrastructure</t>
  </si>
  <si>
    <t xml:space="preserve">Do not resell or build a data product that resurfaces Apollo records to third parties</t>
  </si>
  <si>
    <t xml:space="preserve">Commercial subscription. Standard terms permit use for internal business purposes; prohibit resale.</t>
  </si>
  <si>
    <t xml:space="preserve">Confirm — see note</t>
  </si>
  <si>
    <t xml:space="preserve">Per subscription terms; refresh rather than accumulate stale contacts</t>
  </si>
  <si>
    <t xml:space="preserve">On demand / per enrichment</t>
  </si>
  <si>
    <t xml:space="preserve">Licensed, not public — recorded here for governance, not because use is in doubt. Exporting to your own CRM and sequencer is ordinary Apollo use. One thing to confirm: if clients ever take delivery of contact records into their OWN systems rather than Capital Context's, check that against the contract. See docs/iam/60-apollo-export-conflict.md.</t>
  </si>
  <si>
    <t xml:space="preserve">In-house assembled RIA data</t>
  </si>
  <si>
    <t xml:space="preserve">Internal (derived)</t>
  </si>
  <si>
    <t xml:space="preserve">As derived from the approved public sources above</t>
  </si>
  <si>
    <t xml:space="preserve">Same as the underlying source; inherits its permitted uses</t>
  </si>
  <si>
    <t xml:space="preserve">Inherits the strictest prohibition of any contributing source</t>
  </si>
  <si>
    <t xml:space="preserve">None of its own — governed by whatever it was derived from</t>
  </si>
  <si>
    <t xml:space="preserve">Permitted where every contributing source permits it</t>
  </si>
  <si>
    <t xml:space="preserve">Inherits the shortest retention of any contributing source</t>
  </si>
  <si>
    <t xml:space="preserve">On re-ingestion</t>
  </si>
  <si>
    <t xml:space="preserve">Does not bypass governance. Provenance must be reconstructed on ingestion: which source each field came from, and when. If provenance cannot be reconstructed, re-ingest from source instead.</t>
  </si>
  <si>
    <t xml:space="preserve">Approved sources</t>
  </si>
  <si>
    <t xml:space="preserve">Outstanding</t>
  </si>
  <si>
    <t xml:space="preserve">All twelve sources resolved: 11 approved, 1 dropped (BrokerCheck, reversible — see notes). Phase 2a ingestion is unblocked.</t>
  </si>
  <si>
    <t xml:space="preserve">Field</t>
  </si>
  <si>
    <t xml:space="preserve">What it means / who answers it</t>
  </si>
  <si>
    <t xml:space="preserve">As it will appear in the source registry. Stable identifier — later evidence cites it.</t>
  </si>
  <si>
    <t xml:space="preserve">Regulatory filing, regulatory database, web content, commercial licence, internal.</t>
  </si>
  <si>
    <t xml:space="preserve">Which submodule consumes it: RIA, Family Office, HNW, or several.</t>
  </si>
  <si>
    <t xml:space="preserve">Exactly which fields may be extracted. Narrower than 'everything in the file'.</t>
  </si>
  <si>
    <t xml:space="preserve">What the data may be used for. Counsel. Qualification and export are distinct uses.</t>
  </si>
  <si>
    <t xml:space="preserve">Explicit restrictions. Counsel.</t>
  </si>
  <si>
    <t xml:space="preserve">Contract terms constraining use, storage, or redistribution. Counsel.</t>
  </si>
  <si>
    <t xml:space="preserve">Whether data may reach a client campaign system via the export gateway. Counsel. This is the field most likely to be missed and most consequential if wrong.</t>
  </si>
  <si>
    <t xml:space="preserve">How long records may be kept, and deletion obligations. Counsel.</t>
  </si>
  <si>
    <t xml:space="preserve">How often the source is re-checked. Drives the daily update job.</t>
  </si>
  <si>
    <t xml:space="preserve">Feeds evidence source_reliability. 0.95+ regulatory, lower for scraped or modelled.</t>
  </si>
  <si>
    <t xml:space="preserve">When terms were last reviewed. Ingestion must halt on a stale source.</t>
  </si>
  <si>
    <t xml:space="preserve">Only 'Approved' permits production ingestion.</t>
  </si>
  <si>
    <t xml:space="preserve">Who approved it.</t>
  </si>
  <si>
    <t xml:space="preserve">Caveats the engineering team must know — known quality issues, bucketing, lag.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</si>
</sst>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yyyy\-mm\-dd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808080"/>
      <name val="Arial"/>
      <family val="0"/>
      <charset val="1"/>
    </font>
    <font>
      <sz val="10"/>
      <name val="Arial"/>
      <family val="0"/>
      <charset val="1"/>
    </font>
    <font>
      <sz val="9"/>
      <name val="Arial"/>
      <family val="0"/>
      <charset val="1"/>
    </font>
    <font>
      <b val="true"/>
      <sz val="10"/>
      <color rgb="FF808080"/>
      <name val="Arial"/>
      <family val="0"/>
      <charset val="1"/>
    </font>
    <font>
      <sz val="9"/>
      <color rgb="FF80808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color rgb="FF375623"/>
      <name val="Arial"/>
      <family val="0"/>
      <charset val="1"/>
    </font>
    <font>
      <b val="true"/>
      <sz val="10"/>
      <color rgb="FF0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E2EFDA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D9E2F3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2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2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5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1F3864"/>
      <rgbColor rgb="FF339966"/>
      <rgbColor rgb="FF003300"/>
      <rgbColor rgb="FF333300"/>
      <rgbColor rgb="FF9933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0"/>
  </cols>
  <sheetData>
    <row r="1" customFormat="false" ht="19.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3"/>
    </row>
    <row r="4" customFormat="false" ht="15" hidden="false" customHeight="true" outlineLevel="0" collapsed="false">
      <c r="A4" s="4" t="s">
        <v>2</v>
      </c>
    </row>
    <row r="5" customFormat="false" ht="15" hidden="false" customHeight="true" outlineLevel="0" collapsed="false">
      <c r="A5" s="3" t="s">
        <v>3</v>
      </c>
    </row>
    <row r="6" customFormat="false" ht="15" hidden="false" customHeight="true" outlineLevel="0" collapsed="false">
      <c r="A6" s="3" t="s">
        <v>4</v>
      </c>
    </row>
    <row r="7" customFormat="false" ht="15" hidden="false" customHeight="true" outlineLevel="0" collapsed="false">
      <c r="A7" s="3" t="s">
        <v>5</v>
      </c>
    </row>
    <row r="8" customFormat="false" ht="15" hidden="false" customHeight="true" outlineLevel="0" collapsed="false">
      <c r="A8" s="3" t="s">
        <v>6</v>
      </c>
    </row>
    <row r="9" customFormat="false" ht="15" hidden="false" customHeight="true" outlineLevel="0" collapsed="false">
      <c r="A9" s="3"/>
    </row>
    <row r="10" customFormat="false" ht="15" hidden="false" customHeight="true" outlineLevel="0" collapsed="false">
      <c r="A10" s="4" t="s">
        <v>7</v>
      </c>
    </row>
    <row r="11" customFormat="false" ht="15" hidden="false" customHeight="true" outlineLevel="0" collapsed="false">
      <c r="A11" s="3" t="s">
        <v>8</v>
      </c>
    </row>
    <row r="12" customFormat="false" ht="15" hidden="false" customHeight="true" outlineLevel="0" collapsed="false">
      <c r="A12" s="3" t="s">
        <v>9</v>
      </c>
    </row>
    <row r="13" customFormat="false" ht="15" hidden="false" customHeight="true" outlineLevel="0" collapsed="false">
      <c r="A13" s="3" t="s">
        <v>10</v>
      </c>
    </row>
    <row r="14" customFormat="false" ht="15" hidden="false" customHeight="true" outlineLevel="0" collapsed="false">
      <c r="A14" s="3" t="s">
        <v>11</v>
      </c>
    </row>
    <row r="15" customFormat="false" ht="15" hidden="false" customHeight="true" outlineLevel="0" collapsed="false">
      <c r="A15" s="3" t="s">
        <v>12</v>
      </c>
    </row>
    <row r="16" customFormat="false" ht="15" hidden="false" customHeight="true" outlineLevel="0" collapsed="false">
      <c r="A16" s="3"/>
    </row>
    <row r="17" customFormat="false" ht="15" hidden="false" customHeight="true" outlineLevel="0" collapsed="false">
      <c r="A17" s="4" t="s">
        <v>13</v>
      </c>
    </row>
    <row r="18" customFormat="false" ht="15" hidden="false" customHeight="true" outlineLevel="0" collapsed="false">
      <c r="A18" s="3" t="s">
        <v>14</v>
      </c>
    </row>
    <row r="19" customFormat="false" ht="15" hidden="false" customHeight="true" outlineLevel="0" collapsed="false">
      <c r="A19" s="3" t="s">
        <v>15</v>
      </c>
    </row>
    <row r="20" customFormat="false" ht="15" hidden="false" customHeight="true" outlineLevel="0" collapsed="false">
      <c r="A20" s="3" t="s">
        <v>16</v>
      </c>
    </row>
    <row r="21" customFormat="false" ht="15" hidden="false" customHeight="true" outlineLevel="0" collapsed="false">
      <c r="A21" s="3" t="s">
        <v>17</v>
      </c>
    </row>
    <row r="22" customFormat="false" ht="15" hidden="false" customHeight="true" outlineLevel="0" collapsed="false">
      <c r="A22" s="3"/>
    </row>
    <row r="23" customFormat="false" ht="15" hidden="false" customHeight="true" outlineLevel="0" collapsed="false">
      <c r="A23" s="3" t="s">
        <v>18</v>
      </c>
    </row>
    <row r="24" customFormat="false" ht="15" hidden="false" customHeight="true" outlineLevel="0" collapsed="false">
      <c r="A24" s="3" t="s">
        <v>19</v>
      </c>
    </row>
    <row r="25" customFormat="false" ht="15" hidden="false" customHeight="true" outlineLevel="0" collapsed="false">
      <c r="A25" s="3" t="s">
        <v>20</v>
      </c>
    </row>
    <row r="26" customFormat="false" ht="15" hidden="false" customHeight="true" outlineLevel="0" collapsed="false">
      <c r="A26" s="3" t="s">
        <v>21</v>
      </c>
    </row>
    <row r="27" customFormat="false" ht="15" hidden="false" customHeight="true" outlineLevel="0" collapsed="false">
      <c r="A27" s="3"/>
    </row>
    <row r="28" customFormat="false" ht="15" hidden="false" customHeight="true" outlineLevel="0" collapsed="false">
      <c r="A28" s="4" t="s">
        <v>22</v>
      </c>
    </row>
    <row r="29" customFormat="false" ht="15" hidden="false" customHeight="true" outlineLevel="0" collapsed="false">
      <c r="A29" s="3" t="s">
        <v>23</v>
      </c>
    </row>
    <row r="30" customFormat="false" ht="15" hidden="false" customHeight="true" outlineLevel="0" collapsed="false">
      <c r="A30" s="3" t="s">
        <v>24</v>
      </c>
    </row>
    <row r="31" customFormat="false" ht="15" hidden="false" customHeight="true" outlineLevel="0" collapsed="false">
      <c r="A31" s="3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0"/>
    <col collapsed="false" customWidth="true" hidden="false" outlineLevel="0" max="3" min="3" style="1" width="20"/>
    <col collapsed="false" customWidth="true" hidden="false" outlineLevel="0" max="4" min="4" style="1" width="18"/>
    <col collapsed="false" customWidth="true" hidden="false" outlineLevel="0" max="8" min="5" style="1" width="30"/>
    <col collapsed="false" customWidth="true" hidden="false" outlineLevel="0" max="9" min="9" style="1" width="22"/>
    <col collapsed="false" customWidth="true" hidden="false" outlineLevel="0" max="10" min="10" style="1" width="24"/>
    <col collapsed="false" customWidth="true" hidden="false" outlineLevel="0" max="11" min="11" style="1" width="18"/>
    <col collapsed="false" customWidth="true" hidden="false" outlineLevel="0" max="14" min="12" style="1" width="16"/>
    <col collapsed="false" customWidth="true" hidden="false" outlineLevel="0" max="15" min="15" style="1" width="18"/>
    <col collapsed="false" customWidth="true" hidden="false" outlineLevel="0" max="16" min="16" style="1" width="40"/>
  </cols>
  <sheetData>
    <row r="1" customFormat="false" ht="45.75" hidden="false" customHeight="true" outlineLevel="0" collapsed="false">
      <c r="A1" s="5" t="s">
        <v>26</v>
      </c>
      <c r="B1" s="5" t="s">
        <v>27</v>
      </c>
      <c r="C1" s="5" t="s">
        <v>28</v>
      </c>
      <c r="D1" s="5" t="s">
        <v>29</v>
      </c>
      <c r="E1" s="5" t="s">
        <v>30</v>
      </c>
      <c r="F1" s="5" t="s">
        <v>31</v>
      </c>
      <c r="G1" s="5" t="s">
        <v>32</v>
      </c>
      <c r="H1" s="5" t="s">
        <v>33</v>
      </c>
      <c r="I1" s="5" t="s">
        <v>34</v>
      </c>
      <c r="J1" s="5" t="s">
        <v>35</v>
      </c>
      <c r="K1" s="5" t="s">
        <v>36</v>
      </c>
      <c r="L1" s="5" t="s">
        <v>37</v>
      </c>
      <c r="M1" s="5" t="s">
        <v>38</v>
      </c>
      <c r="N1" s="5" t="s">
        <v>39</v>
      </c>
      <c r="O1" s="5" t="s">
        <v>40</v>
      </c>
      <c r="P1" s="5" t="s">
        <v>41</v>
      </c>
    </row>
    <row r="2" customFormat="false" ht="60" hidden="false" customHeight="true" outlineLevel="0" collapsed="false">
      <c r="A2" s="6" t="n">
        <v>1</v>
      </c>
      <c r="B2" s="6" t="s">
        <v>42</v>
      </c>
      <c r="C2" s="6" t="s">
        <v>43</v>
      </c>
      <c r="D2" s="6" t="s">
        <v>44</v>
      </c>
      <c r="E2" s="6" t="s">
        <v>45</v>
      </c>
      <c r="F2" s="6" t="s">
        <v>46</v>
      </c>
      <c r="G2" s="6" t="s">
        <v>47</v>
      </c>
      <c r="H2" s="6" t="s">
        <v>48</v>
      </c>
      <c r="I2" s="6" t="s">
        <v>49</v>
      </c>
      <c r="J2" s="6" t="s">
        <v>50</v>
      </c>
      <c r="K2" s="6" t="s">
        <v>51</v>
      </c>
      <c r="L2" s="6" t="n">
        <v>0.95</v>
      </c>
      <c r="M2" s="6" t="s">
        <v>52</v>
      </c>
      <c r="N2" s="6" t="s">
        <v>53</v>
      </c>
      <c r="O2" s="6" t="s">
        <v>54</v>
      </c>
      <c r="P2" s="6" t="s">
        <v>55</v>
      </c>
    </row>
    <row r="3" customFormat="false" ht="78" hidden="false" customHeight="true" outlineLevel="0" collapsed="false">
      <c r="A3" s="7" t="n">
        <v>1</v>
      </c>
      <c r="B3" s="8" t="s">
        <v>56</v>
      </c>
      <c r="C3" s="8" t="s">
        <v>57</v>
      </c>
      <c r="D3" s="8" t="s">
        <v>44</v>
      </c>
      <c r="E3" s="9" t="s">
        <v>58</v>
      </c>
      <c r="F3" s="9" t="s">
        <v>59</v>
      </c>
      <c r="G3" s="9" t="s">
        <v>60</v>
      </c>
      <c r="H3" s="9" t="s">
        <v>61</v>
      </c>
      <c r="I3" s="9" t="s">
        <v>49</v>
      </c>
      <c r="J3" s="9" t="s">
        <v>62</v>
      </c>
      <c r="K3" s="9" t="s">
        <v>63</v>
      </c>
      <c r="L3" s="10" t="n">
        <v>0.98</v>
      </c>
      <c r="M3" s="11" t="s">
        <v>64</v>
      </c>
      <c r="N3" s="9" t="s">
        <v>53</v>
      </c>
      <c r="O3" s="9" t="s">
        <v>54</v>
      </c>
      <c r="P3" s="9" t="s">
        <v>65</v>
      </c>
    </row>
    <row r="4" customFormat="false" ht="78" hidden="false" customHeight="true" outlineLevel="0" collapsed="false">
      <c r="A4" s="7" t="n">
        <v>2</v>
      </c>
      <c r="B4" s="8" t="s">
        <v>66</v>
      </c>
      <c r="C4" s="8" t="s">
        <v>43</v>
      </c>
      <c r="D4" s="8" t="s">
        <v>44</v>
      </c>
      <c r="E4" s="9" t="s">
        <v>67</v>
      </c>
      <c r="F4" s="9" t="s">
        <v>59</v>
      </c>
      <c r="G4" s="9" t="s">
        <v>60</v>
      </c>
      <c r="H4" s="9" t="s">
        <v>61</v>
      </c>
      <c r="I4" s="9" t="s">
        <v>49</v>
      </c>
      <c r="J4" s="9" t="s">
        <v>62</v>
      </c>
      <c r="K4" s="9" t="s">
        <v>51</v>
      </c>
      <c r="L4" s="10" t="n">
        <v>0.95</v>
      </c>
      <c r="M4" s="11" t="s">
        <v>64</v>
      </c>
      <c r="N4" s="9" t="s">
        <v>53</v>
      </c>
      <c r="O4" s="9" t="s">
        <v>54</v>
      </c>
      <c r="P4" s="9" t="s">
        <v>68</v>
      </c>
    </row>
    <row r="5" customFormat="false" ht="78" hidden="false" customHeight="true" outlineLevel="0" collapsed="false">
      <c r="A5" s="7" t="n">
        <v>3</v>
      </c>
      <c r="B5" s="8" t="s">
        <v>69</v>
      </c>
      <c r="C5" s="8" t="s">
        <v>43</v>
      </c>
      <c r="D5" s="8" t="s">
        <v>44</v>
      </c>
      <c r="E5" s="9" t="s">
        <v>70</v>
      </c>
      <c r="F5" s="9" t="s">
        <v>59</v>
      </c>
      <c r="G5" s="9" t="s">
        <v>60</v>
      </c>
      <c r="H5" s="9" t="s">
        <v>61</v>
      </c>
      <c r="I5" s="9" t="s">
        <v>49</v>
      </c>
      <c r="J5" s="9" t="s">
        <v>62</v>
      </c>
      <c r="K5" s="9" t="s">
        <v>51</v>
      </c>
      <c r="L5" s="10" t="n">
        <v>0.95</v>
      </c>
      <c r="M5" s="11" t="s">
        <v>64</v>
      </c>
      <c r="N5" s="9" t="s">
        <v>53</v>
      </c>
      <c r="O5" s="9" t="s">
        <v>54</v>
      </c>
      <c r="P5" s="9" t="s">
        <v>71</v>
      </c>
    </row>
    <row r="6" customFormat="false" ht="78" hidden="false" customHeight="true" outlineLevel="0" collapsed="false">
      <c r="A6" s="7" t="n">
        <v>4</v>
      </c>
      <c r="B6" s="8" t="s">
        <v>72</v>
      </c>
      <c r="C6" s="8" t="s">
        <v>73</v>
      </c>
      <c r="D6" s="8" t="s">
        <v>44</v>
      </c>
      <c r="E6" s="9" t="s">
        <v>74</v>
      </c>
      <c r="F6" s="9" t="s">
        <v>59</v>
      </c>
      <c r="G6" s="9" t="s">
        <v>60</v>
      </c>
      <c r="H6" s="9" t="s">
        <v>61</v>
      </c>
      <c r="I6" s="9" t="s">
        <v>49</v>
      </c>
      <c r="J6" s="9" t="s">
        <v>62</v>
      </c>
      <c r="K6" s="9" t="s">
        <v>63</v>
      </c>
      <c r="L6" s="10" t="n">
        <v>0.9</v>
      </c>
      <c r="M6" s="11" t="s">
        <v>64</v>
      </c>
      <c r="N6" s="9" t="s">
        <v>53</v>
      </c>
      <c r="O6" s="9" t="s">
        <v>54</v>
      </c>
      <c r="P6" s="9" t="s">
        <v>75</v>
      </c>
    </row>
    <row r="7" customFormat="false" ht="78" hidden="false" customHeight="true" outlineLevel="0" collapsed="false">
      <c r="A7" s="7" t="n">
        <v>5</v>
      </c>
      <c r="B7" s="8" t="s">
        <v>76</v>
      </c>
      <c r="C7" s="8" t="s">
        <v>77</v>
      </c>
      <c r="D7" s="8" t="s">
        <v>44</v>
      </c>
      <c r="E7" s="9" t="s">
        <v>78</v>
      </c>
      <c r="F7" s="9" t="s">
        <v>59</v>
      </c>
      <c r="G7" s="9" t="s">
        <v>60</v>
      </c>
      <c r="H7" s="9" t="s">
        <v>61</v>
      </c>
      <c r="I7" s="9" t="s">
        <v>49</v>
      </c>
      <c r="J7" s="9" t="s">
        <v>62</v>
      </c>
      <c r="K7" s="9" t="s">
        <v>63</v>
      </c>
      <c r="L7" s="10" t="n">
        <v>0.88</v>
      </c>
      <c r="M7" s="11" t="s">
        <v>64</v>
      </c>
      <c r="N7" s="9" t="s">
        <v>53</v>
      </c>
      <c r="O7" s="9" t="s">
        <v>54</v>
      </c>
      <c r="P7" s="9" t="s">
        <v>79</v>
      </c>
    </row>
    <row r="8" customFormat="false" ht="78" hidden="false" customHeight="true" outlineLevel="0" collapsed="false">
      <c r="A8" s="7" t="n">
        <v>6</v>
      </c>
      <c r="B8" s="8" t="s">
        <v>80</v>
      </c>
      <c r="C8" s="8" t="s">
        <v>57</v>
      </c>
      <c r="D8" s="8" t="s">
        <v>44</v>
      </c>
      <c r="E8" s="9" t="s">
        <v>81</v>
      </c>
      <c r="F8" s="9" t="s">
        <v>59</v>
      </c>
      <c r="G8" s="9" t="s">
        <v>60</v>
      </c>
      <c r="H8" s="9" t="s">
        <v>82</v>
      </c>
      <c r="I8" s="9" t="s">
        <v>49</v>
      </c>
      <c r="J8" s="9" t="s">
        <v>62</v>
      </c>
      <c r="K8" s="9" t="s">
        <v>83</v>
      </c>
      <c r="L8" s="10" t="n">
        <v>0.9</v>
      </c>
      <c r="M8" s="11" t="s">
        <v>64</v>
      </c>
      <c r="N8" s="9" t="s">
        <v>53</v>
      </c>
      <c r="O8" s="9" t="s">
        <v>54</v>
      </c>
      <c r="P8" s="9" t="s">
        <v>84</v>
      </c>
    </row>
    <row r="9" customFormat="false" ht="78" hidden="false" customHeight="true" outlineLevel="0" collapsed="false">
      <c r="A9" s="7" t="n">
        <v>7</v>
      </c>
      <c r="B9" s="8" t="s">
        <v>85</v>
      </c>
      <c r="C9" s="8" t="s">
        <v>57</v>
      </c>
      <c r="D9" s="8" t="s">
        <v>44</v>
      </c>
      <c r="E9" s="9" t="s">
        <v>86</v>
      </c>
      <c r="F9" s="9" t="s">
        <v>87</v>
      </c>
      <c r="G9" s="9" t="s">
        <v>60</v>
      </c>
      <c r="H9" s="9" t="s">
        <v>61</v>
      </c>
      <c r="I9" s="9" t="s">
        <v>49</v>
      </c>
      <c r="J9" s="9" t="s">
        <v>62</v>
      </c>
      <c r="K9" s="9" t="s">
        <v>63</v>
      </c>
      <c r="L9" s="10" t="n">
        <v>0.95</v>
      </c>
      <c r="M9" s="11" t="s">
        <v>64</v>
      </c>
      <c r="N9" s="9" t="s">
        <v>53</v>
      </c>
      <c r="O9" s="9" t="s">
        <v>54</v>
      </c>
      <c r="P9" s="9" t="s">
        <v>88</v>
      </c>
    </row>
    <row r="10" customFormat="false" ht="78" hidden="false" customHeight="true" outlineLevel="0" collapsed="false">
      <c r="A10" s="7" t="n">
        <v>8</v>
      </c>
      <c r="B10" s="12" t="s">
        <v>89</v>
      </c>
      <c r="C10" s="13" t="s">
        <v>57</v>
      </c>
      <c r="D10" s="13" t="s">
        <v>90</v>
      </c>
      <c r="E10" s="13" t="s">
        <v>91</v>
      </c>
      <c r="F10" s="13" t="s">
        <v>92</v>
      </c>
      <c r="G10" s="13" t="s">
        <v>92</v>
      </c>
      <c r="H10" s="13" t="s">
        <v>93</v>
      </c>
      <c r="I10" s="13" t="s">
        <v>92</v>
      </c>
      <c r="J10" s="13" t="s">
        <v>92</v>
      </c>
      <c r="K10" s="13" t="s">
        <v>92</v>
      </c>
      <c r="L10" s="14"/>
      <c r="M10" s="15" t="s">
        <v>64</v>
      </c>
      <c r="N10" s="13" t="s">
        <v>94</v>
      </c>
      <c r="O10" s="13" t="s">
        <v>54</v>
      </c>
      <c r="P10" s="13" t="s">
        <v>95</v>
      </c>
    </row>
    <row r="11" customFormat="false" ht="78" hidden="false" customHeight="true" outlineLevel="0" collapsed="false">
      <c r="A11" s="7" t="n">
        <v>9</v>
      </c>
      <c r="B11" s="8" t="s">
        <v>96</v>
      </c>
      <c r="C11" s="8" t="s">
        <v>97</v>
      </c>
      <c r="D11" s="8" t="s">
        <v>44</v>
      </c>
      <c r="E11" s="9" t="s">
        <v>98</v>
      </c>
      <c r="F11" s="9" t="s">
        <v>99</v>
      </c>
      <c r="G11" s="9" t="s">
        <v>100</v>
      </c>
      <c r="H11" s="9" t="s">
        <v>101</v>
      </c>
      <c r="I11" s="9" t="s">
        <v>102</v>
      </c>
      <c r="J11" s="9" t="s">
        <v>103</v>
      </c>
      <c r="K11" s="9" t="s">
        <v>83</v>
      </c>
      <c r="L11" s="10" t="n">
        <v>0.7</v>
      </c>
      <c r="M11" s="11" t="s">
        <v>64</v>
      </c>
      <c r="N11" s="9" t="s">
        <v>53</v>
      </c>
      <c r="O11" s="9" t="s">
        <v>54</v>
      </c>
      <c r="P11" s="9" t="s">
        <v>104</v>
      </c>
    </row>
    <row r="12" customFormat="false" ht="78" hidden="false" customHeight="true" outlineLevel="0" collapsed="false">
      <c r="A12" s="7" t="n">
        <v>10</v>
      </c>
      <c r="B12" s="8" t="s">
        <v>105</v>
      </c>
      <c r="C12" s="8" t="s">
        <v>97</v>
      </c>
      <c r="D12" s="8" t="s">
        <v>44</v>
      </c>
      <c r="E12" s="9" t="s">
        <v>106</v>
      </c>
      <c r="F12" s="9" t="s">
        <v>107</v>
      </c>
      <c r="G12" s="9" t="s">
        <v>108</v>
      </c>
      <c r="H12" s="9" t="s">
        <v>109</v>
      </c>
      <c r="I12" s="9" t="s">
        <v>102</v>
      </c>
      <c r="J12" s="9" t="s">
        <v>110</v>
      </c>
      <c r="K12" s="9" t="s">
        <v>83</v>
      </c>
      <c r="L12" s="10" t="n">
        <v>0.65</v>
      </c>
      <c r="M12" s="11" t="s">
        <v>64</v>
      </c>
      <c r="N12" s="9" t="s">
        <v>53</v>
      </c>
      <c r="O12" s="9" t="s">
        <v>54</v>
      </c>
      <c r="P12" s="9" t="s">
        <v>111</v>
      </c>
    </row>
    <row r="13" customFormat="false" ht="78" hidden="false" customHeight="true" outlineLevel="0" collapsed="false">
      <c r="A13" s="7" t="n">
        <v>11</v>
      </c>
      <c r="B13" s="8" t="s">
        <v>112</v>
      </c>
      <c r="C13" s="8" t="s">
        <v>113</v>
      </c>
      <c r="D13" s="8" t="s">
        <v>114</v>
      </c>
      <c r="E13" s="9" t="s">
        <v>115</v>
      </c>
      <c r="F13" s="9" t="s">
        <v>116</v>
      </c>
      <c r="G13" s="9" t="s">
        <v>117</v>
      </c>
      <c r="H13" s="9" t="s">
        <v>118</v>
      </c>
      <c r="I13" s="9" t="s">
        <v>119</v>
      </c>
      <c r="J13" s="9" t="s">
        <v>120</v>
      </c>
      <c r="K13" s="9" t="s">
        <v>121</v>
      </c>
      <c r="L13" s="10" t="n">
        <v>0.75</v>
      </c>
      <c r="M13" s="11" t="s">
        <v>64</v>
      </c>
      <c r="N13" s="9" t="s">
        <v>53</v>
      </c>
      <c r="O13" s="9" t="s">
        <v>54</v>
      </c>
      <c r="P13" s="9" t="s">
        <v>122</v>
      </c>
    </row>
    <row r="14" customFormat="false" ht="78" hidden="false" customHeight="true" outlineLevel="0" collapsed="false">
      <c r="A14" s="7" t="n">
        <v>12</v>
      </c>
      <c r="B14" s="8" t="s">
        <v>123</v>
      </c>
      <c r="C14" s="8" t="s">
        <v>124</v>
      </c>
      <c r="D14" s="8" t="s">
        <v>44</v>
      </c>
      <c r="E14" s="9" t="s">
        <v>125</v>
      </c>
      <c r="F14" s="9" t="s">
        <v>126</v>
      </c>
      <c r="G14" s="9" t="s">
        <v>127</v>
      </c>
      <c r="H14" s="9" t="s">
        <v>128</v>
      </c>
      <c r="I14" s="9" t="s">
        <v>129</v>
      </c>
      <c r="J14" s="9" t="s">
        <v>130</v>
      </c>
      <c r="K14" s="9" t="s">
        <v>131</v>
      </c>
      <c r="L14" s="10" t="n">
        <v>0.85</v>
      </c>
      <c r="M14" s="11" t="s">
        <v>64</v>
      </c>
      <c r="N14" s="9" t="s">
        <v>53</v>
      </c>
      <c r="O14" s="9" t="s">
        <v>54</v>
      </c>
      <c r="P14" s="9" t="s">
        <v>132</v>
      </c>
    </row>
    <row r="16" customFormat="false" ht="15" hidden="false" customHeight="true" outlineLevel="0" collapsed="false">
      <c r="B16" s="16" t="s">
        <v>133</v>
      </c>
      <c r="C16" s="16" t="n">
        <f aca="false">COUNTIF(N3:N14,"Approved")</f>
        <v>11</v>
      </c>
    </row>
    <row r="17" customFormat="false" ht="15" hidden="false" customHeight="true" outlineLevel="0" collapsed="false">
      <c r="B17" s="16" t="s">
        <v>134</v>
      </c>
      <c r="C17" s="16" t="n">
        <f aca="false">COUNTA(B3:B14)-COUNTIF(N3:N14,"Approved")</f>
        <v>1</v>
      </c>
    </row>
    <row r="19" customFormat="false" ht="15" hidden="false" customHeight="true" outlineLevel="0" collapsed="false">
      <c r="B19" s="17" t="s">
        <v>135</v>
      </c>
    </row>
  </sheetData>
  <dataValidations count="2">
    <dataValidation allowBlank="true" errorStyle="stop" operator="between" showDropDown="false" showErrorMessage="false" showInputMessage="false" sqref="N3:N14" type="list">
      <formula1>"Not started,In review,Approved,Rejected,Conditional"</formula1>
      <formula2>0</formula2>
    </dataValidation>
    <dataValidation allowBlank="true" errorStyle="stop" operator="between" showDropDown="false" showErrorMessage="false" showInputMessage="false" sqref="I3:I14" type="list">
      <formula1>"Permitted,Prohibited,Restricted — see notes,Unknown"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95"/>
  </cols>
  <sheetData>
    <row r="1" customFormat="false" ht="30" hidden="false" customHeight="true" outlineLevel="0" collapsed="false">
      <c r="A1" s="18" t="s">
        <v>136</v>
      </c>
      <c r="B1" s="18" t="s">
        <v>137</v>
      </c>
    </row>
    <row r="2" customFormat="false" ht="30" hidden="false" customHeight="true" outlineLevel="0" collapsed="false">
      <c r="A2" s="19" t="s">
        <v>27</v>
      </c>
      <c r="B2" s="20" t="s">
        <v>138</v>
      </c>
    </row>
    <row r="3" customFormat="false" ht="30" hidden="false" customHeight="true" outlineLevel="0" collapsed="false">
      <c r="A3" s="21" t="s">
        <v>28</v>
      </c>
      <c r="B3" s="22" t="s">
        <v>139</v>
      </c>
    </row>
    <row r="4" customFormat="false" ht="30" hidden="false" customHeight="true" outlineLevel="0" collapsed="false">
      <c r="A4" s="19" t="s">
        <v>29</v>
      </c>
      <c r="B4" s="20" t="s">
        <v>140</v>
      </c>
    </row>
    <row r="5" customFormat="false" ht="30" hidden="false" customHeight="true" outlineLevel="0" collapsed="false">
      <c r="A5" s="21" t="s">
        <v>30</v>
      </c>
      <c r="B5" s="22" t="s">
        <v>141</v>
      </c>
    </row>
    <row r="6" customFormat="false" ht="30" hidden="false" customHeight="true" outlineLevel="0" collapsed="false">
      <c r="A6" s="19" t="s">
        <v>31</v>
      </c>
      <c r="B6" s="20" t="s">
        <v>142</v>
      </c>
    </row>
    <row r="7" customFormat="false" ht="30" hidden="false" customHeight="true" outlineLevel="0" collapsed="false">
      <c r="A7" s="21" t="s">
        <v>32</v>
      </c>
      <c r="B7" s="22" t="s">
        <v>143</v>
      </c>
    </row>
    <row r="8" customFormat="false" ht="30" hidden="false" customHeight="true" outlineLevel="0" collapsed="false">
      <c r="A8" s="19" t="s">
        <v>33</v>
      </c>
      <c r="B8" s="20" t="s">
        <v>144</v>
      </c>
    </row>
    <row r="9" customFormat="false" ht="30" hidden="false" customHeight="true" outlineLevel="0" collapsed="false">
      <c r="A9" s="21" t="s">
        <v>34</v>
      </c>
      <c r="B9" s="22" t="s">
        <v>145</v>
      </c>
    </row>
    <row r="10" customFormat="false" ht="30" hidden="false" customHeight="true" outlineLevel="0" collapsed="false">
      <c r="A10" s="19" t="s">
        <v>35</v>
      </c>
      <c r="B10" s="20" t="s">
        <v>146</v>
      </c>
    </row>
    <row r="11" customFormat="false" ht="30" hidden="false" customHeight="true" outlineLevel="0" collapsed="false">
      <c r="A11" s="21" t="s">
        <v>36</v>
      </c>
      <c r="B11" s="22" t="s">
        <v>147</v>
      </c>
    </row>
    <row r="12" customFormat="false" ht="30" hidden="false" customHeight="true" outlineLevel="0" collapsed="false">
      <c r="A12" s="19" t="s">
        <v>37</v>
      </c>
      <c r="B12" s="20" t="s">
        <v>148</v>
      </c>
    </row>
    <row r="13" customFormat="false" ht="30" hidden="false" customHeight="true" outlineLevel="0" collapsed="false">
      <c r="A13" s="21" t="s">
        <v>38</v>
      </c>
      <c r="B13" s="22" t="s">
        <v>149</v>
      </c>
    </row>
    <row r="14" customFormat="false" ht="30" hidden="false" customHeight="true" outlineLevel="0" collapsed="false">
      <c r="A14" s="19" t="s">
        <v>39</v>
      </c>
      <c r="B14" s="20" t="s">
        <v>150</v>
      </c>
    </row>
    <row r="15" customFormat="false" ht="30" hidden="false" customHeight="true" outlineLevel="0" collapsed="false">
      <c r="A15" s="21" t="s">
        <v>40</v>
      </c>
      <c r="B15" s="22" t="s">
        <v>151</v>
      </c>
    </row>
    <row r="16" customFormat="false" ht="30" hidden="false" customHeight="true" outlineLevel="0" collapsed="false">
      <c r="A16" s="19" t="s">
        <v>41</v>
      </c>
      <c r="B16" s="20" t="s">
        <v>152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2026-08-01T19:43:55Z</dcterms:created>
  <dc:creator>openpyxl</dc:creator>
  <dc:description/>
  <dc:language>en-US</dc:language>
  <cp:lastModifiedBy/>
  <dcterms:modified xsi:type="dcterms:W3CDTF">2026-08-01T20:10:11Z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